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"/>
    </mc:Choice>
  </mc:AlternateContent>
  <xr:revisionPtr revIDLastSave="0" documentId="13_ncr:1_{8FA1CE75-C564-40FC-9873-12542C4C0035}" xr6:coauthVersionLast="47" xr6:coauthVersionMax="47" xr10:uidLastSave="{00000000-0000-0000-0000-000000000000}"/>
  <bookViews>
    <workbookView xWindow="-108" yWindow="-108" windowWidth="23256" windowHeight="12456" xr2:uid="{C2DB36FA-347E-417C-BA1E-3A151AB6831D}"/>
  </bookViews>
  <sheets>
    <sheet name="Sheet1" sheetId="1" r:id="rId1"/>
  </sheets>
  <calcPr calcId="191029"/>
  <pivotCaches>
    <pivotCache cacheId="30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" i="1" l="1"/>
  <c r="I14" i="1"/>
  <c r="I15" i="1"/>
  <c r="I16" i="1"/>
  <c r="I17" i="1"/>
  <c r="I12" i="1"/>
  <c r="C7" i="1"/>
  <c r="F5" i="1"/>
  <c r="F7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C5" i="1" l="1"/>
</calcChain>
</file>

<file path=xl/sharedStrings.xml><?xml version="1.0" encoding="utf-8"?>
<sst xmlns="http://schemas.openxmlformats.org/spreadsheetml/2006/main" count="41" uniqueCount="31">
  <si>
    <t>Product ID</t>
  </si>
  <si>
    <t>Product</t>
  </si>
  <si>
    <t>Quantity in stock</t>
  </si>
  <si>
    <t>Cost Per Unit</t>
  </si>
  <si>
    <t>Sale Price per unit</t>
  </si>
  <si>
    <t>Total Value</t>
  </si>
  <si>
    <t>Reorder Threshold</t>
  </si>
  <si>
    <t>Reorder</t>
  </si>
  <si>
    <t>Sum of Product ID</t>
  </si>
  <si>
    <t>Row Labels</t>
  </si>
  <si>
    <t>Grand Total</t>
  </si>
  <si>
    <t>Sum of Quantity in stock</t>
  </si>
  <si>
    <t>Sum of Cost Per Unit</t>
  </si>
  <si>
    <t>Sum of Sale Price per unit</t>
  </si>
  <si>
    <t>Inventory Management System</t>
  </si>
  <si>
    <t>Inventory Value</t>
  </si>
  <si>
    <t>Current Date:</t>
  </si>
  <si>
    <t>Unique Products</t>
  </si>
  <si>
    <t>Day of Week</t>
  </si>
  <si>
    <t>Laptop</t>
  </si>
  <si>
    <t>Desktop PC</t>
  </si>
  <si>
    <t>Mouse</t>
  </si>
  <si>
    <t>Keyboard</t>
  </si>
  <si>
    <t>LCD</t>
  </si>
  <si>
    <t>Speaker</t>
  </si>
  <si>
    <t>Sum of Total Value</t>
  </si>
  <si>
    <t>Sum of Reorder Threshold</t>
  </si>
  <si>
    <t>NO</t>
  </si>
  <si>
    <t>YES</t>
  </si>
  <si>
    <t>Pivot-Table:</t>
  </si>
  <si>
    <t>Graph/Chart: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</si>
</sst>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8"/>
      <color theme="1" tint="4.9989318521683403E-2"/>
      <name val="Times New Roman"/>
      <family val="1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14" fontId="1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left" indent="1"/>
    </xf>
    <xf numFmtId="0" fontId="2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[76615_Muhammad Usman_ICT EXCEL PROJECT.xlsm]Sheet1!PivotTable2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</a:t>
            </a:r>
            <a:r>
              <a:rPr lang="en-US" baseline="0"/>
              <a:t> Management System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Sheet1!$C$25</c:f>
              <c:strCache>
                <c:ptCount val="1"/>
                <c:pt idx="0">
                  <c:v>Sum of Product 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Sheet1!$B$26:$B$38</c:f>
              <c:multiLvlStrCache>
                <c:ptCount val="6"/>
                <c:lvl>
                  <c:pt idx="0">
                    <c:v>NO</c:v>
                  </c:pt>
                  <c:pt idx="1">
                    <c:v>NO</c:v>
                  </c:pt>
                  <c:pt idx="2">
                    <c:v>YES</c:v>
                  </c:pt>
                  <c:pt idx="3">
                    <c:v>YES</c:v>
                  </c:pt>
                  <c:pt idx="4">
                    <c:v>NO</c:v>
                  </c:pt>
                  <c:pt idx="5">
                    <c:v>YES</c:v>
                  </c:pt>
                </c:lvl>
                <c:lvl>
                  <c:pt idx="0">
                    <c:v>Desktop PC</c:v>
                  </c:pt>
                  <c:pt idx="1">
                    <c:v>Keyboard</c:v>
                  </c:pt>
                  <c:pt idx="2">
                    <c:v>Laptop</c:v>
                  </c:pt>
                  <c:pt idx="3">
                    <c:v>LCD</c:v>
                  </c:pt>
                  <c:pt idx="4">
                    <c:v>Mouse</c:v>
                  </c:pt>
                  <c:pt idx="5">
                    <c:v>Speaker</c:v>
                  </c:pt>
                </c:lvl>
              </c:multiLvlStrCache>
            </c:multiLvlStrRef>
          </c:cat>
          <c:val>
            <c:numRef>
              <c:f>Sheet1!$C$26:$C$38</c:f>
              <c:numCache>
                <c:formatCode>General</c:formatCode>
                <c:ptCount val="6"/>
                <c:pt idx="0">
                  <c:v>101</c:v>
                </c:pt>
                <c:pt idx="1">
                  <c:v>103</c:v>
                </c:pt>
                <c:pt idx="2">
                  <c:v>100</c:v>
                </c:pt>
                <c:pt idx="3">
                  <c:v>104</c:v>
                </c:pt>
                <c:pt idx="4">
                  <c:v>102</c:v>
                </c:pt>
                <c:pt idx="5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71-4C47-A4F0-6CCF7C29537B}"/>
            </c:ext>
          </c:extLst>
        </c:ser>
        <c:ser>
          <c:idx val="1"/>
          <c:order val="1"/>
          <c:tx>
            <c:strRef>
              <c:f>Sheet1!$D$25</c:f>
              <c:strCache>
                <c:ptCount val="1"/>
                <c:pt idx="0">
                  <c:v>Sum of Quantity in stock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Sheet1!$B$26:$B$38</c:f>
              <c:multiLvlStrCache>
                <c:ptCount val="6"/>
                <c:lvl>
                  <c:pt idx="0">
                    <c:v>NO</c:v>
                  </c:pt>
                  <c:pt idx="1">
                    <c:v>NO</c:v>
                  </c:pt>
                  <c:pt idx="2">
                    <c:v>YES</c:v>
                  </c:pt>
                  <c:pt idx="3">
                    <c:v>YES</c:v>
                  </c:pt>
                  <c:pt idx="4">
                    <c:v>NO</c:v>
                  </c:pt>
                  <c:pt idx="5">
                    <c:v>YES</c:v>
                  </c:pt>
                </c:lvl>
                <c:lvl>
                  <c:pt idx="0">
                    <c:v>Desktop PC</c:v>
                  </c:pt>
                  <c:pt idx="1">
                    <c:v>Keyboard</c:v>
                  </c:pt>
                  <c:pt idx="2">
                    <c:v>Laptop</c:v>
                  </c:pt>
                  <c:pt idx="3">
                    <c:v>LCD</c:v>
                  </c:pt>
                  <c:pt idx="4">
                    <c:v>Mouse</c:v>
                  </c:pt>
                  <c:pt idx="5">
                    <c:v>Speaker</c:v>
                  </c:pt>
                </c:lvl>
              </c:multiLvlStrCache>
            </c:multiLvlStrRef>
          </c:cat>
          <c:val>
            <c:numRef>
              <c:f>Sheet1!$D$26:$D$38</c:f>
              <c:numCache>
                <c:formatCode>General</c:formatCode>
                <c:ptCount val="6"/>
                <c:pt idx="0">
                  <c:v>38</c:v>
                </c:pt>
                <c:pt idx="1">
                  <c:v>32</c:v>
                </c:pt>
                <c:pt idx="2">
                  <c:v>24</c:v>
                </c:pt>
                <c:pt idx="3">
                  <c:v>9</c:v>
                </c:pt>
                <c:pt idx="4">
                  <c:v>45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71-4C47-A4F0-6CCF7C29537B}"/>
            </c:ext>
          </c:extLst>
        </c:ser>
        <c:ser>
          <c:idx val="2"/>
          <c:order val="2"/>
          <c:tx>
            <c:strRef>
              <c:f>Sheet1!$E$25</c:f>
              <c:strCache>
                <c:ptCount val="1"/>
                <c:pt idx="0">
                  <c:v>Sum of Cost Per Unit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Sheet1!$B$26:$B$38</c:f>
              <c:multiLvlStrCache>
                <c:ptCount val="6"/>
                <c:lvl>
                  <c:pt idx="0">
                    <c:v>NO</c:v>
                  </c:pt>
                  <c:pt idx="1">
                    <c:v>NO</c:v>
                  </c:pt>
                  <c:pt idx="2">
                    <c:v>YES</c:v>
                  </c:pt>
                  <c:pt idx="3">
                    <c:v>YES</c:v>
                  </c:pt>
                  <c:pt idx="4">
                    <c:v>NO</c:v>
                  </c:pt>
                  <c:pt idx="5">
                    <c:v>YES</c:v>
                  </c:pt>
                </c:lvl>
                <c:lvl>
                  <c:pt idx="0">
                    <c:v>Desktop PC</c:v>
                  </c:pt>
                  <c:pt idx="1">
                    <c:v>Keyboard</c:v>
                  </c:pt>
                  <c:pt idx="2">
                    <c:v>Laptop</c:v>
                  </c:pt>
                  <c:pt idx="3">
                    <c:v>LCD</c:v>
                  </c:pt>
                  <c:pt idx="4">
                    <c:v>Mouse</c:v>
                  </c:pt>
                  <c:pt idx="5">
                    <c:v>Speaker</c:v>
                  </c:pt>
                </c:lvl>
              </c:multiLvlStrCache>
            </c:multiLvlStrRef>
          </c:cat>
          <c:val>
            <c:numRef>
              <c:f>Sheet1!$E$26:$E$38</c:f>
              <c:numCache>
                <c:formatCode>General</c:formatCode>
                <c:ptCount val="6"/>
                <c:pt idx="0">
                  <c:v>100000</c:v>
                </c:pt>
                <c:pt idx="1">
                  <c:v>10000</c:v>
                </c:pt>
                <c:pt idx="2">
                  <c:v>80000</c:v>
                </c:pt>
                <c:pt idx="3">
                  <c:v>25000</c:v>
                </c:pt>
                <c:pt idx="4">
                  <c:v>5000</c:v>
                </c:pt>
                <c:pt idx="5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71-4C47-A4F0-6CCF7C29537B}"/>
            </c:ext>
          </c:extLst>
        </c:ser>
        <c:ser>
          <c:idx val="3"/>
          <c:order val="3"/>
          <c:tx>
            <c:strRef>
              <c:f>Sheet1!$F$25</c:f>
              <c:strCache>
                <c:ptCount val="1"/>
                <c:pt idx="0">
                  <c:v>Sum of Sale Price per unit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Sheet1!$B$26:$B$38</c:f>
              <c:multiLvlStrCache>
                <c:ptCount val="6"/>
                <c:lvl>
                  <c:pt idx="0">
                    <c:v>NO</c:v>
                  </c:pt>
                  <c:pt idx="1">
                    <c:v>NO</c:v>
                  </c:pt>
                  <c:pt idx="2">
                    <c:v>YES</c:v>
                  </c:pt>
                  <c:pt idx="3">
                    <c:v>YES</c:v>
                  </c:pt>
                  <c:pt idx="4">
                    <c:v>NO</c:v>
                  </c:pt>
                  <c:pt idx="5">
                    <c:v>YES</c:v>
                  </c:pt>
                </c:lvl>
                <c:lvl>
                  <c:pt idx="0">
                    <c:v>Desktop PC</c:v>
                  </c:pt>
                  <c:pt idx="1">
                    <c:v>Keyboard</c:v>
                  </c:pt>
                  <c:pt idx="2">
                    <c:v>Laptop</c:v>
                  </c:pt>
                  <c:pt idx="3">
                    <c:v>LCD</c:v>
                  </c:pt>
                  <c:pt idx="4">
                    <c:v>Mouse</c:v>
                  </c:pt>
                  <c:pt idx="5">
                    <c:v>Speaker</c:v>
                  </c:pt>
                </c:lvl>
              </c:multiLvlStrCache>
            </c:multiLvlStrRef>
          </c:cat>
          <c:val>
            <c:numRef>
              <c:f>Sheet1!$F$26:$F$38</c:f>
              <c:numCache>
                <c:formatCode>General</c:formatCode>
                <c:ptCount val="6"/>
                <c:pt idx="0">
                  <c:v>300000</c:v>
                </c:pt>
                <c:pt idx="1">
                  <c:v>30000</c:v>
                </c:pt>
                <c:pt idx="2">
                  <c:v>240000</c:v>
                </c:pt>
                <c:pt idx="3">
                  <c:v>75000</c:v>
                </c:pt>
                <c:pt idx="4">
                  <c:v>15000</c:v>
                </c:pt>
                <c:pt idx="5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71-4C47-A4F0-6CCF7C29537B}"/>
            </c:ext>
          </c:extLst>
        </c:ser>
        <c:ser>
          <c:idx val="4"/>
          <c:order val="4"/>
          <c:tx>
            <c:strRef>
              <c:f>Sheet1!$G$25</c:f>
              <c:strCache>
                <c:ptCount val="1"/>
                <c:pt idx="0">
                  <c:v>Sum of Total Value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Sheet1!$B$26:$B$38</c:f>
              <c:multiLvlStrCache>
                <c:ptCount val="6"/>
                <c:lvl>
                  <c:pt idx="0">
                    <c:v>NO</c:v>
                  </c:pt>
                  <c:pt idx="1">
                    <c:v>NO</c:v>
                  </c:pt>
                  <c:pt idx="2">
                    <c:v>YES</c:v>
                  </c:pt>
                  <c:pt idx="3">
                    <c:v>YES</c:v>
                  </c:pt>
                  <c:pt idx="4">
                    <c:v>NO</c:v>
                  </c:pt>
                  <c:pt idx="5">
                    <c:v>YES</c:v>
                  </c:pt>
                </c:lvl>
                <c:lvl>
                  <c:pt idx="0">
                    <c:v>Desktop PC</c:v>
                  </c:pt>
                  <c:pt idx="1">
                    <c:v>Keyboard</c:v>
                  </c:pt>
                  <c:pt idx="2">
                    <c:v>Laptop</c:v>
                  </c:pt>
                  <c:pt idx="3">
                    <c:v>LCD</c:v>
                  </c:pt>
                  <c:pt idx="4">
                    <c:v>Mouse</c:v>
                  </c:pt>
                  <c:pt idx="5">
                    <c:v>Speaker</c:v>
                  </c:pt>
                </c:lvl>
              </c:multiLvlStrCache>
            </c:multiLvlStrRef>
          </c:cat>
          <c:val>
            <c:numRef>
              <c:f>Sheet1!$G$26:$G$38</c:f>
              <c:numCache>
                <c:formatCode>General</c:formatCode>
                <c:ptCount val="6"/>
                <c:pt idx="0">
                  <c:v>11400000</c:v>
                </c:pt>
                <c:pt idx="1">
                  <c:v>960000</c:v>
                </c:pt>
                <c:pt idx="2">
                  <c:v>5760000</c:v>
                </c:pt>
                <c:pt idx="3">
                  <c:v>675000</c:v>
                </c:pt>
                <c:pt idx="4">
                  <c:v>675000</c:v>
                </c:pt>
                <c:pt idx="5">
                  <c:v>180000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71-4C47-A4F0-6CCF7C29537B}"/>
            </c:ext>
          </c:extLst>
        </c:ser>
        <c:ser>
          <c:idx val="5"/>
          <c:order val="5"/>
          <c:tx>
            <c:strRef>
              <c:f>Sheet1!$H$25</c:f>
              <c:strCache>
                <c:ptCount val="1"/>
                <c:pt idx="0">
                  <c:v>Sum of Reorder Threshold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Sheet1!$B$26:$B$38</c:f>
              <c:multiLvlStrCache>
                <c:ptCount val="6"/>
                <c:lvl>
                  <c:pt idx="0">
                    <c:v>NO</c:v>
                  </c:pt>
                  <c:pt idx="1">
                    <c:v>NO</c:v>
                  </c:pt>
                  <c:pt idx="2">
                    <c:v>YES</c:v>
                  </c:pt>
                  <c:pt idx="3">
                    <c:v>YES</c:v>
                  </c:pt>
                  <c:pt idx="4">
                    <c:v>NO</c:v>
                  </c:pt>
                  <c:pt idx="5">
                    <c:v>YES</c:v>
                  </c:pt>
                </c:lvl>
                <c:lvl>
                  <c:pt idx="0">
                    <c:v>Desktop PC</c:v>
                  </c:pt>
                  <c:pt idx="1">
                    <c:v>Keyboard</c:v>
                  </c:pt>
                  <c:pt idx="2">
                    <c:v>Laptop</c:v>
                  </c:pt>
                  <c:pt idx="3">
                    <c:v>LCD</c:v>
                  </c:pt>
                  <c:pt idx="4">
                    <c:v>Mouse</c:v>
                  </c:pt>
                  <c:pt idx="5">
                    <c:v>Speaker</c:v>
                  </c:pt>
                </c:lvl>
              </c:multiLvlStrCache>
            </c:multiLvlStrRef>
          </c:cat>
          <c:val>
            <c:numRef>
              <c:f>Sheet1!$H$26:$H$38</c:f>
              <c:numCache>
                <c:formatCode>General</c:formatCode>
                <c:ptCount val="6"/>
                <c:pt idx="0">
                  <c:v>25</c:v>
                </c:pt>
                <c:pt idx="1">
                  <c:v>18</c:v>
                </c:pt>
                <c:pt idx="2">
                  <c:v>30</c:v>
                </c:pt>
                <c:pt idx="3">
                  <c:v>20</c:v>
                </c:pt>
                <c:pt idx="4">
                  <c:v>20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71-4C47-A4F0-6CCF7C295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0965807"/>
        <c:axId val="1560967247"/>
      </c:barChart>
      <c:catAx>
        <c:axId val="1560965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Product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967247"/>
        <c:crosses val="autoZero"/>
        <c:auto val="1"/>
        <c:lblAlgn val="ctr"/>
        <c:lblOffset val="100"/>
        <c:noMultiLvlLbl val="0"/>
      </c:catAx>
      <c:valAx>
        <c:axId val="156096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Sum</a:t>
                </a:r>
                <a:r>
                  <a:rPr lang="en-US" baseline="0"/>
                  <a:t> of Value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965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670560</xdr:colOff>
      <xdr:row>24</xdr:row>
      <xdr:rowOff>3810</xdr:rowOff>
    </xdr:from>
    <xdr:to>
      <xdr:col>16</xdr:col>
      <xdr:colOff>297180</xdr:colOff>
      <xdr:row>39</xdr:row>
      <xdr:rowOff>3810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0FD907-6C0F-622C-497A-FF4677677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40</xdr:row>
          <xdr:rowOff>30480</xdr:rowOff>
        </xdr:from>
        <xdr:to>
          <xdr:col>2</xdr:col>
          <xdr:colOff>144780</xdr:colOff>
          <xdr:row>41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Refresh-Table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41</xdr:row>
          <xdr:rowOff>15240</xdr:rowOff>
        </xdr:from>
        <xdr:to>
          <xdr:col>10</xdr:col>
          <xdr:colOff>373380</xdr:colOff>
          <xdr:row>42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Refresh-Chart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man Malik" refreshedDate="46008.45753078704" createdVersion="8" refreshedVersion="8" minRefreshableVersion="3" recordCount="6" xr:uid="{45E44BE8-BA31-4738-9044-5C3B8076DFB7}">
  <cacheSource type="worksheet">
    <worksheetSource name="Table1"/>
  </cacheSource>
  <cacheFields count="8">
    <cacheField name="Product ID" numFmtId="0">
      <sharedItems containsSemiMixedTypes="0" containsString="0" containsNumber="1" containsInteger="1" minValue="100" maxValue="105"/>
    </cacheField>
    <cacheField name="Product" numFmtId="0">
      <sharedItems count="6">
        <s v="Laptop"/>
        <s v="Desktop PC"/>
        <s v="Mouse"/>
        <s v="Keyboard"/>
        <s v="LCD"/>
        <s v="Speaker"/>
      </sharedItems>
    </cacheField>
    <cacheField name="Quantity in stock" numFmtId="0">
      <sharedItems containsSemiMixedTypes="0" containsString="0" containsNumber="1" containsInteger="1" minValue="9" maxValue="45"/>
    </cacheField>
    <cacheField name="Cost Per Unit" numFmtId="0">
      <sharedItems containsSemiMixedTypes="0" containsString="0" containsNumber="1" containsInteger="1" minValue="5000" maxValue="100000"/>
    </cacheField>
    <cacheField name="Sale Price per unit" numFmtId="0">
      <sharedItems containsSemiMixedTypes="0" containsString="0" containsNumber="1" containsInteger="1" minValue="15000" maxValue="300000"/>
    </cacheField>
    <cacheField name="Total Value" numFmtId="0">
      <sharedItems containsSemiMixedTypes="0" containsString="0" containsNumber="1" containsInteger="1" minValue="180000" maxValue="11400000"/>
    </cacheField>
    <cacheField name="Reorder Threshold" numFmtId="0">
      <sharedItems containsSemiMixedTypes="0" containsString="0" containsNumber="1" containsInteger="1" minValue="15" maxValue="30"/>
    </cacheField>
    <cacheField name="Reorder" numFmtId="0">
      <sharedItems count="2">
        <s v="YES"/>
        <s v="N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n v="100"/>
    <x v="0"/>
    <n v="24"/>
    <n v="80000"/>
    <n v="240000"/>
    <n v="5760000"/>
    <n v="30"/>
    <x v="0"/>
  </r>
  <r>
    <n v="101"/>
    <x v="1"/>
    <n v="38"/>
    <n v="100000"/>
    <n v="300000"/>
    <n v="11400000"/>
    <n v="25"/>
    <x v="1"/>
  </r>
  <r>
    <n v="102"/>
    <x v="2"/>
    <n v="45"/>
    <n v="5000"/>
    <n v="15000"/>
    <n v="675000"/>
    <n v="20"/>
    <x v="1"/>
  </r>
  <r>
    <n v="103"/>
    <x v="3"/>
    <n v="32"/>
    <n v="10000"/>
    <n v="30000"/>
    <n v="960000"/>
    <n v="18"/>
    <x v="1"/>
  </r>
  <r>
    <n v="104"/>
    <x v="4"/>
    <n v="9"/>
    <n v="25000"/>
    <n v="75000"/>
    <n v="675000"/>
    <n v="20"/>
    <x v="0"/>
  </r>
  <r>
    <n v="105"/>
    <x v="5"/>
    <n v="10"/>
    <n v="6000"/>
    <n v="18000"/>
    <n v="180000"/>
    <n v="1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92753E-AF5A-4534-ABA8-EE2D2CA1B763}" name="PivotTable2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7">
  <location ref="B25:H38" firstHeaderRow="0" firstDataRow="1" firstDataCol="1"/>
  <pivotFields count="8">
    <pivotField dataField="1" showAll="0"/>
    <pivotField axis="axisRow" showAll="0">
      <items count="7">
        <item x="1"/>
        <item x="3"/>
        <item x="0"/>
        <item x="4"/>
        <item x="2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axis="axisRow" showAll="0">
      <items count="3">
        <item x="1"/>
        <item x="0"/>
        <item t="default"/>
      </items>
    </pivotField>
  </pivotFields>
  <rowFields count="2">
    <field x="1"/>
    <field x="7"/>
  </rowFields>
  <rowItems count="13">
    <i>
      <x/>
    </i>
    <i r="1">
      <x/>
    </i>
    <i>
      <x v="1"/>
    </i>
    <i r="1">
      <x/>
    </i>
    <i>
      <x v="2"/>
    </i>
    <i r="1">
      <x v="1"/>
    </i>
    <i>
      <x v="3"/>
    </i>
    <i r="1">
      <x v="1"/>
    </i>
    <i>
      <x v="4"/>
    </i>
    <i r="1">
      <x/>
    </i>
    <i>
      <x v="5"/>
    </i>
    <i r="1"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Product ID" fld="0" baseField="0" baseItem="0"/>
    <dataField name="Sum of Quantity in stock" fld="2" baseField="0" baseItem="0"/>
    <dataField name="Sum of Cost Per Unit" fld="3" baseField="0" baseItem="0"/>
    <dataField name="Sum of Sale Price per unit" fld="4" baseField="0" baseItem="0"/>
    <dataField name="Sum of Total Value" fld="5" baseField="0" baseItem="0"/>
    <dataField name="Sum of Reorder Threshold" fld="6" baseField="0" baseItem="0"/>
  </dataFields>
  <chartFormats count="6">
    <chartFormat chart="2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B5FE42-A1D5-4446-8A11-024C4C3A1B3F}" name="Table1" displayName="Table1" ref="B11:I17" headerRowDxfId="17" dataDxfId="16">
  <autoFilter ref="B11:I17" xr:uid="{B3B5FE42-A1D5-4446-8A11-024C4C3A1B3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E3170C8-CD83-4F72-A5A1-337667AD4DC1}" name="Product ID" totalsRowLabel="Total" dataDxfId="15" totalsRowDxfId="14"/>
    <tableColumn id="2" xr3:uid="{B8B0D228-146F-4313-B6B0-EC2FD4B8B55B}" name="Product" dataDxfId="13" totalsRowDxfId="12"/>
    <tableColumn id="3" xr3:uid="{3F5FBBB2-0A85-4241-ABFF-5AFE22471074}" name="Quantity in stock" dataDxfId="11" totalsRowDxfId="10"/>
    <tableColumn id="4" xr3:uid="{7C4BF499-4504-49F6-96CF-F1E9FFD070AB}" name="Cost Per Unit" dataDxfId="9" totalsRowDxfId="8"/>
    <tableColumn id="5" xr3:uid="{E721589C-F542-4137-849F-4744C2C7D2C9}" name="Sale Price per unit" dataDxfId="7" totalsRowDxfId="6">
      <calculatedColumnFormula>E12*3</calculatedColumnFormula>
    </tableColumn>
    <tableColumn id="6" xr3:uid="{AB4C2E6B-435D-4C40-AC7A-ABD685961CA3}" name="Total Value" dataDxfId="5" totalsRowDxfId="4">
      <calculatedColumnFormula>F12*D12</calculatedColumnFormula>
    </tableColumn>
    <tableColumn id="7" xr3:uid="{03F09E06-A219-4022-B6DA-BA6799BF729A}" name="Reorder Threshold" dataDxfId="3" totalsRowDxfId="2"/>
    <tableColumn id="8" xr3:uid="{7F4346F2-C8D1-4129-A461-C37E761687F9}" name="Reorder" totalsRowFunction="count" dataDxfId="1" totalsRowDxfId="0">
      <calculatedColumnFormula>IF(D12&lt;=H12,"YES","NO")</calculatedColumnFormula>
    </tableColumn>
  </tableColumns>
  <tableStyleInfo name="TableStyleLight21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4E5FD-27AB-4579-8B1A-D9B09408A9D0}">
  <dimension ref="B1:K42"/>
  <sheetViews>
    <sheetView tabSelected="1" workbookViewId="0">
      <selection activeCell="H22" sqref="H22"/>
    </sheetView>
  </sheetViews>
  <sheetFormatPr defaultRowHeight="14.4" x14ac:dyDescent="0.3"/>
  <cols>
    <col min="1" max="1" width="4.44140625" customWidth="1"/>
    <col min="2" max="2" width="12.5546875" style="2" bestFit="1" customWidth="1"/>
    <col min="3" max="3" width="16.44140625" style="1" bestFit="1" customWidth="1"/>
    <col min="4" max="4" width="22" bestFit="1" customWidth="1"/>
    <col min="5" max="5" width="18.5546875" bestFit="1" customWidth="1"/>
    <col min="6" max="6" width="22.77734375" bestFit="1" customWidth="1"/>
    <col min="7" max="7" width="17" bestFit="1" customWidth="1"/>
    <col min="8" max="8" width="23.21875" bestFit="1" customWidth="1"/>
    <col min="9" max="9" width="9.88671875" customWidth="1"/>
  </cols>
  <sheetData>
    <row r="1" spans="2:10" x14ac:dyDescent="0.3">
      <c r="B1" s="3"/>
      <c r="C1" s="4"/>
      <c r="D1" s="13" t="s">
        <v>14</v>
      </c>
      <c r="E1" s="13"/>
      <c r="F1" s="13"/>
      <c r="G1" s="7"/>
      <c r="H1" s="7"/>
      <c r="I1" s="7"/>
    </row>
    <row r="2" spans="2:10" x14ac:dyDescent="0.3">
      <c r="B2" s="3"/>
      <c r="C2" s="4"/>
      <c r="D2" s="13"/>
      <c r="E2" s="13"/>
      <c r="F2" s="13"/>
      <c r="G2" s="7"/>
      <c r="H2" s="7"/>
      <c r="I2" s="7"/>
    </row>
    <row r="3" spans="2:10" x14ac:dyDescent="0.3">
      <c r="B3" s="3"/>
      <c r="C3" s="4"/>
      <c r="D3" s="13"/>
      <c r="E3" s="13"/>
      <c r="F3" s="13"/>
      <c r="G3" s="7"/>
      <c r="H3" s="7"/>
      <c r="I3" s="7"/>
    </row>
    <row r="4" spans="2:10" x14ac:dyDescent="0.3">
      <c r="B4" s="3"/>
      <c r="C4" s="4"/>
      <c r="D4" s="7"/>
      <c r="E4" s="7"/>
      <c r="F4" s="7"/>
      <c r="G4" s="7"/>
      <c r="H4" s="7"/>
      <c r="I4" s="7"/>
    </row>
    <row r="5" spans="2:10" ht="27.6" x14ac:dyDescent="0.3">
      <c r="B5" s="3" t="s">
        <v>15</v>
      </c>
      <c r="C5" s="9">
        <f>SUM(G12:G17)</f>
        <v>19650000</v>
      </c>
      <c r="D5" s="7"/>
      <c r="E5" s="4" t="s">
        <v>16</v>
      </c>
      <c r="F5" s="8">
        <f ca="1">TODAY()</f>
        <v>46008</v>
      </c>
      <c r="G5" s="7"/>
      <c r="H5" s="7"/>
      <c r="I5" s="7"/>
    </row>
    <row r="6" spans="2:10" x14ac:dyDescent="0.3">
      <c r="B6" s="3"/>
      <c r="C6" s="10"/>
      <c r="D6" s="7"/>
      <c r="E6" s="7"/>
      <c r="F6" s="7"/>
      <c r="G6" s="7"/>
      <c r="H6" s="7"/>
      <c r="I6" s="7"/>
    </row>
    <row r="7" spans="2:10" ht="27.6" x14ac:dyDescent="0.3">
      <c r="B7" s="3" t="s">
        <v>17</v>
      </c>
      <c r="C7" s="9">
        <f>COUNT(_xlfn.UNIQUE(Table1[Product ID]))</f>
        <v>6</v>
      </c>
      <c r="D7" s="7"/>
      <c r="E7" s="3" t="s">
        <v>18</v>
      </c>
      <c r="F7" s="9" t="str">
        <f ca="1">TEXT(F5,"dddd")</f>
        <v>Wednesday</v>
      </c>
      <c r="G7" s="7"/>
      <c r="H7" s="7"/>
      <c r="I7" s="7"/>
    </row>
    <row r="8" spans="2:10" x14ac:dyDescent="0.3">
      <c r="B8" s="3"/>
      <c r="C8" s="4"/>
      <c r="D8" s="7"/>
      <c r="E8" s="7"/>
      <c r="F8" s="7"/>
      <c r="G8" s="7"/>
      <c r="H8" s="7"/>
      <c r="I8" s="7"/>
    </row>
    <row r="9" spans="2:10" x14ac:dyDescent="0.3">
      <c r="B9" s="3"/>
      <c r="C9" s="4"/>
      <c r="D9" s="7"/>
      <c r="E9" s="7"/>
      <c r="F9" s="7"/>
      <c r="G9" s="7"/>
      <c r="H9" s="7"/>
      <c r="I9" s="7"/>
    </row>
    <row r="10" spans="2:10" x14ac:dyDescent="0.3">
      <c r="B10" s="3"/>
      <c r="C10" s="4"/>
      <c r="D10" s="7"/>
      <c r="E10" s="7"/>
      <c r="F10" s="7"/>
      <c r="G10" s="7"/>
      <c r="H10" s="7"/>
      <c r="I10" s="7"/>
    </row>
    <row r="11" spans="2:10" x14ac:dyDescent="0.3">
      <c r="B11" s="3" t="s">
        <v>0</v>
      </c>
      <c r="C11" s="4" t="s">
        <v>1</v>
      </c>
      <c r="D11" s="3" t="s">
        <v>2</v>
      </c>
      <c r="E11" s="3" t="s">
        <v>3</v>
      </c>
      <c r="F11" s="3" t="s">
        <v>4</v>
      </c>
      <c r="G11" s="3" t="s">
        <v>5</v>
      </c>
      <c r="H11" s="3" t="s">
        <v>6</v>
      </c>
      <c r="I11" s="3" t="s">
        <v>7</v>
      </c>
      <c r="J11" s="2"/>
    </row>
    <row r="12" spans="2:10" x14ac:dyDescent="0.3">
      <c r="B12" s="3">
        <v>100</v>
      </c>
      <c r="C12" s="4" t="s">
        <v>19</v>
      </c>
      <c r="D12" s="4">
        <v>24</v>
      </c>
      <c r="E12" s="11">
        <v>80000</v>
      </c>
      <c r="F12" s="4">
        <f>E12*3</f>
        <v>240000</v>
      </c>
      <c r="G12" s="4">
        <f>F12*D12</f>
        <v>5760000</v>
      </c>
      <c r="H12" s="4">
        <v>30</v>
      </c>
      <c r="I12" s="4" t="str">
        <f>IF(D12&lt;=H12,"YES","NO")</f>
        <v>YES</v>
      </c>
    </row>
    <row r="13" spans="2:10" x14ac:dyDescent="0.3">
      <c r="B13" s="3">
        <v>101</v>
      </c>
      <c r="C13" s="4" t="s">
        <v>20</v>
      </c>
      <c r="D13" s="4">
        <v>38</v>
      </c>
      <c r="E13" s="11">
        <v>100000</v>
      </c>
      <c r="F13" s="4">
        <f t="shared" ref="F13:F17" si="0">E13*3</f>
        <v>300000</v>
      </c>
      <c r="G13" s="4">
        <f t="shared" ref="G13:G17" si="1">F13*D13</f>
        <v>11400000</v>
      </c>
      <c r="H13" s="4">
        <v>25</v>
      </c>
      <c r="I13" s="4" t="str">
        <f t="shared" ref="I13:I17" si="2">IF(D13&lt;=H13,"YES","NO")</f>
        <v>NO</v>
      </c>
    </row>
    <row r="14" spans="2:10" x14ac:dyDescent="0.3">
      <c r="B14" s="3">
        <v>102</v>
      </c>
      <c r="C14" s="4" t="s">
        <v>21</v>
      </c>
      <c r="D14" s="4">
        <v>45</v>
      </c>
      <c r="E14" s="4">
        <v>5000</v>
      </c>
      <c r="F14" s="4">
        <f t="shared" si="0"/>
        <v>15000</v>
      </c>
      <c r="G14" s="4">
        <f t="shared" si="1"/>
        <v>675000</v>
      </c>
      <c r="H14" s="4">
        <v>20</v>
      </c>
      <c r="I14" s="4" t="str">
        <f t="shared" si="2"/>
        <v>NO</v>
      </c>
    </row>
    <row r="15" spans="2:10" x14ac:dyDescent="0.3">
      <c r="B15" s="3">
        <v>103</v>
      </c>
      <c r="C15" s="4" t="s">
        <v>22</v>
      </c>
      <c r="D15" s="4">
        <v>32</v>
      </c>
      <c r="E15" s="11">
        <v>10000</v>
      </c>
      <c r="F15" s="4">
        <f t="shared" si="0"/>
        <v>30000</v>
      </c>
      <c r="G15" s="4">
        <f t="shared" si="1"/>
        <v>960000</v>
      </c>
      <c r="H15" s="4">
        <v>18</v>
      </c>
      <c r="I15" s="4" t="str">
        <f t="shared" si="2"/>
        <v>NO</v>
      </c>
    </row>
    <row r="16" spans="2:10" x14ac:dyDescent="0.3">
      <c r="B16" s="3">
        <v>104</v>
      </c>
      <c r="C16" s="4" t="s">
        <v>23</v>
      </c>
      <c r="D16" s="4">
        <v>9</v>
      </c>
      <c r="E16" s="11">
        <v>25000</v>
      </c>
      <c r="F16" s="4">
        <f t="shared" si="0"/>
        <v>75000</v>
      </c>
      <c r="G16" s="4">
        <f t="shared" si="1"/>
        <v>675000</v>
      </c>
      <c r="H16" s="4">
        <v>20</v>
      </c>
      <c r="I16" s="4" t="str">
        <f t="shared" si="2"/>
        <v>YES</v>
      </c>
    </row>
    <row r="17" spans="2:11" x14ac:dyDescent="0.3">
      <c r="B17" s="3">
        <v>105</v>
      </c>
      <c r="C17" s="4" t="s">
        <v>24</v>
      </c>
      <c r="D17" s="4">
        <v>10</v>
      </c>
      <c r="E17" s="4">
        <v>6000</v>
      </c>
      <c r="F17" s="4">
        <f t="shared" si="0"/>
        <v>18000</v>
      </c>
      <c r="G17" s="4">
        <f t="shared" si="1"/>
        <v>180000</v>
      </c>
      <c r="H17" s="4">
        <v>15</v>
      </c>
      <c r="I17" s="4" t="str">
        <f t="shared" si="2"/>
        <v>YES</v>
      </c>
    </row>
    <row r="18" spans="2:11" x14ac:dyDescent="0.3">
      <c r="E18" s="1"/>
    </row>
    <row r="23" spans="2:11" x14ac:dyDescent="0.3">
      <c r="B23" s="14" t="s">
        <v>29</v>
      </c>
      <c r="C23" s="14"/>
      <c r="J23" s="15" t="s">
        <v>30</v>
      </c>
      <c r="K23" s="15"/>
    </row>
    <row r="25" spans="2:11" x14ac:dyDescent="0.3">
      <c r="B25" s="5" t="s">
        <v>9</v>
      </c>
      <c r="C25" t="s">
        <v>8</v>
      </c>
      <c r="D25" t="s">
        <v>11</v>
      </c>
      <c r="E25" t="s">
        <v>12</v>
      </c>
      <c r="F25" t="s">
        <v>13</v>
      </c>
      <c r="G25" t="s">
        <v>25</v>
      </c>
      <c r="H25" t="s">
        <v>26</v>
      </c>
    </row>
    <row r="26" spans="2:11" x14ac:dyDescent="0.3">
      <c r="B26" s="6" t="s">
        <v>20</v>
      </c>
      <c r="C26" s="16">
        <v>101</v>
      </c>
      <c r="D26" s="16">
        <v>38</v>
      </c>
      <c r="E26" s="16">
        <v>100000</v>
      </c>
      <c r="F26" s="16">
        <v>300000</v>
      </c>
      <c r="G26" s="16">
        <v>11400000</v>
      </c>
      <c r="H26" s="16">
        <v>25</v>
      </c>
    </row>
    <row r="27" spans="2:11" x14ac:dyDescent="0.3">
      <c r="B27" s="12" t="s">
        <v>27</v>
      </c>
      <c r="C27" s="16">
        <v>101</v>
      </c>
      <c r="D27" s="16">
        <v>38</v>
      </c>
      <c r="E27" s="16">
        <v>100000</v>
      </c>
      <c r="F27" s="16">
        <v>300000</v>
      </c>
      <c r="G27" s="16">
        <v>11400000</v>
      </c>
      <c r="H27" s="16">
        <v>25</v>
      </c>
    </row>
    <row r="28" spans="2:11" x14ac:dyDescent="0.3">
      <c r="B28" s="6" t="s">
        <v>22</v>
      </c>
      <c r="C28" s="16">
        <v>103</v>
      </c>
      <c r="D28" s="16">
        <v>32</v>
      </c>
      <c r="E28" s="16">
        <v>10000</v>
      </c>
      <c r="F28" s="16">
        <v>30000</v>
      </c>
      <c r="G28" s="16">
        <v>960000</v>
      </c>
      <c r="H28" s="16">
        <v>18</v>
      </c>
    </row>
    <row r="29" spans="2:11" x14ac:dyDescent="0.3">
      <c r="B29" s="12" t="s">
        <v>27</v>
      </c>
      <c r="C29" s="16">
        <v>103</v>
      </c>
      <c r="D29" s="16">
        <v>32</v>
      </c>
      <c r="E29" s="16">
        <v>10000</v>
      </c>
      <c r="F29" s="16">
        <v>30000</v>
      </c>
      <c r="G29" s="16">
        <v>960000</v>
      </c>
      <c r="H29" s="16">
        <v>18</v>
      </c>
    </row>
    <row r="30" spans="2:11" x14ac:dyDescent="0.3">
      <c r="B30" s="6" t="s">
        <v>19</v>
      </c>
      <c r="C30" s="16">
        <v>100</v>
      </c>
      <c r="D30" s="16">
        <v>24</v>
      </c>
      <c r="E30" s="16">
        <v>80000</v>
      </c>
      <c r="F30" s="16">
        <v>240000</v>
      </c>
      <c r="G30" s="16">
        <v>5760000</v>
      </c>
      <c r="H30" s="16">
        <v>30</v>
      </c>
    </row>
    <row r="31" spans="2:11" x14ac:dyDescent="0.3">
      <c r="B31" s="12" t="s">
        <v>28</v>
      </c>
      <c r="C31" s="16">
        <v>100</v>
      </c>
      <c r="D31" s="16">
        <v>24</v>
      </c>
      <c r="E31" s="16">
        <v>80000</v>
      </c>
      <c r="F31" s="16">
        <v>240000</v>
      </c>
      <c r="G31" s="16">
        <v>5760000</v>
      </c>
      <c r="H31" s="16">
        <v>30</v>
      </c>
    </row>
    <row r="32" spans="2:11" x14ac:dyDescent="0.3">
      <c r="B32" s="6" t="s">
        <v>23</v>
      </c>
      <c r="C32" s="16">
        <v>104</v>
      </c>
      <c r="D32" s="16">
        <v>9</v>
      </c>
      <c r="E32" s="16">
        <v>25000</v>
      </c>
      <c r="F32" s="16">
        <v>75000</v>
      </c>
      <c r="G32" s="16">
        <v>675000</v>
      </c>
      <c r="H32" s="16">
        <v>20</v>
      </c>
    </row>
    <row r="33" spans="2:8" x14ac:dyDescent="0.3">
      <c r="B33" s="12" t="s">
        <v>28</v>
      </c>
      <c r="C33" s="16">
        <v>104</v>
      </c>
      <c r="D33" s="16">
        <v>9</v>
      </c>
      <c r="E33" s="16">
        <v>25000</v>
      </c>
      <c r="F33" s="16">
        <v>75000</v>
      </c>
      <c r="G33" s="16">
        <v>675000</v>
      </c>
      <c r="H33" s="16">
        <v>20</v>
      </c>
    </row>
    <row r="34" spans="2:8" x14ac:dyDescent="0.3">
      <c r="B34" s="6" t="s">
        <v>21</v>
      </c>
      <c r="C34" s="16">
        <v>102</v>
      </c>
      <c r="D34" s="16">
        <v>45</v>
      </c>
      <c r="E34" s="16">
        <v>5000</v>
      </c>
      <c r="F34" s="16">
        <v>15000</v>
      </c>
      <c r="G34" s="16">
        <v>675000</v>
      </c>
      <c r="H34" s="16">
        <v>20</v>
      </c>
    </row>
    <row r="35" spans="2:8" x14ac:dyDescent="0.3">
      <c r="B35" s="12" t="s">
        <v>27</v>
      </c>
      <c r="C35" s="16">
        <v>102</v>
      </c>
      <c r="D35" s="16">
        <v>45</v>
      </c>
      <c r="E35" s="16">
        <v>5000</v>
      </c>
      <c r="F35" s="16">
        <v>15000</v>
      </c>
      <c r="G35" s="16">
        <v>675000</v>
      </c>
      <c r="H35" s="16">
        <v>20</v>
      </c>
    </row>
    <row r="36" spans="2:8" x14ac:dyDescent="0.3">
      <c r="B36" s="6" t="s">
        <v>24</v>
      </c>
      <c r="C36" s="16">
        <v>105</v>
      </c>
      <c r="D36" s="16">
        <v>10</v>
      </c>
      <c r="E36" s="16">
        <v>6000</v>
      </c>
      <c r="F36" s="16">
        <v>18000</v>
      </c>
      <c r="G36" s="16">
        <v>180000</v>
      </c>
      <c r="H36" s="16">
        <v>15</v>
      </c>
    </row>
    <row r="37" spans="2:8" x14ac:dyDescent="0.3">
      <c r="B37" s="12" t="s">
        <v>28</v>
      </c>
      <c r="C37" s="16">
        <v>105</v>
      </c>
      <c r="D37" s="16">
        <v>10</v>
      </c>
      <c r="E37" s="16">
        <v>6000</v>
      </c>
      <c r="F37" s="16">
        <v>18000</v>
      </c>
      <c r="G37" s="16">
        <v>180000</v>
      </c>
      <c r="H37" s="16">
        <v>15</v>
      </c>
    </row>
    <row r="38" spans="2:8" x14ac:dyDescent="0.3">
      <c r="B38" s="6" t="s">
        <v>10</v>
      </c>
      <c r="C38" s="16">
        <v>615</v>
      </c>
      <c r="D38" s="16">
        <v>158</v>
      </c>
      <c r="E38" s="16">
        <v>226000</v>
      </c>
      <c r="F38" s="16">
        <v>678000</v>
      </c>
      <c r="G38" s="16">
        <v>19650000</v>
      </c>
      <c r="H38" s="16">
        <v>128</v>
      </c>
    </row>
    <row r="39" spans="2:8" x14ac:dyDescent="0.3">
      <c r="B39"/>
      <c r="C39"/>
    </row>
    <row r="40" spans="2:8" x14ac:dyDescent="0.3">
      <c r="B40"/>
      <c r="C40"/>
    </row>
    <row r="41" spans="2:8" x14ac:dyDescent="0.3">
      <c r="B41"/>
      <c r="C41"/>
    </row>
    <row r="42" spans="2:8" x14ac:dyDescent="0.3">
      <c r="B42"/>
      <c r="C42"/>
    </row>
  </sheetData>
  <mergeCells count="3">
    <mergeCell ref="D1:F3"/>
    <mergeCell ref="B23:C23"/>
    <mergeCell ref="J23:K23"/>
  </mergeCells>
  <conditionalFormatting sqref="I12:I17">
    <cfRule type="containsText" dxfId="18" priority="1" operator="containsText" text="YES">
      <formula>NOT(ISERROR(SEARCH("YES",I12)))</formula>
    </cfRule>
  </conditionalFormatting>
  <dataValidations count="1">
    <dataValidation type="whole" allowBlank="1" showInputMessage="1" showErrorMessage="1" sqref="D12:D17" xr:uid="{7C3DF5D2-031D-4F2D-B907-64A326531541}">
      <formula1>0</formula1>
      <formula2>10000</formula2>
    </dataValidation>
  </dataValidation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_Pivot">
                <anchor moveWithCells="1" sizeWithCells="1">
                  <from>
                    <xdr:col>1</xdr:col>
                    <xdr:colOff>22860</xdr:colOff>
                    <xdr:row>40</xdr:row>
                    <xdr:rowOff>30480</xdr:rowOff>
                  </from>
                  <to>
                    <xdr:col>2</xdr:col>
                    <xdr:colOff>144780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fresh_Chart">
                <anchor moveWithCells="1" sizeWithCells="1">
                  <from>
                    <xdr:col>9</xdr:col>
                    <xdr:colOff>15240</xdr:colOff>
                    <xdr:row>41</xdr:row>
                    <xdr:rowOff>15240</xdr:rowOff>
                  </from>
                  <to>
                    <xdr:col>10</xdr:col>
                    <xdr:colOff>373380</xdr:colOff>
                    <xdr:row>42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Usman 76615</dc:creator>
  <cp:lastModifiedBy>Muhammad Usman 76615</cp:lastModifiedBy>
  <dcterms:created xsi:type="dcterms:W3CDTF">2025-12-16T13:59:52Z</dcterms:created>
  <dcterms:modified xsi:type="dcterms:W3CDTF">2025-12-17T05:58:54Z</dcterms:modified>
</cp:coreProperties>
</file>